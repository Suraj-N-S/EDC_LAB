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5\READINGS\DIFF_AMPLIFIER\"/>
    </mc:Choice>
  </mc:AlternateContent>
  <xr:revisionPtr revIDLastSave="0" documentId="13_ncr:1_{9B2361CD-6A4B-4646-AF4E-2F032DA4E3F7}" xr6:coauthVersionLast="47" xr6:coauthVersionMax="47" xr10:uidLastSave="{00000000-0000-0000-0000-000000000000}"/>
  <bookViews>
    <workbookView xWindow="-108" yWindow="-108" windowWidth="23256" windowHeight="12456" activeTab="1" xr2:uid="{A82E2911-34DA-46EE-B228-885B7FB33E2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H13" i="3"/>
  <c r="H14" i="3"/>
  <c r="H15" i="3"/>
  <c r="H16" i="3"/>
  <c r="H17" i="3"/>
  <c r="H18" i="3"/>
  <c r="H19" i="3"/>
  <c r="H20" i="3"/>
  <c r="H21" i="3"/>
  <c r="H12" i="3"/>
  <c r="H3" i="3"/>
  <c r="H4" i="3"/>
  <c r="H5" i="3"/>
  <c r="H6" i="3"/>
  <c r="H7" i="3"/>
  <c r="H8" i="3"/>
  <c r="H9" i="3"/>
  <c r="H10" i="3"/>
  <c r="H11" i="3"/>
  <c r="B3" i="3"/>
  <c r="B4" i="3"/>
  <c r="B5" i="3"/>
  <c r="B6" i="3"/>
  <c r="B7" i="3"/>
  <c r="B8" i="3"/>
  <c r="B9" i="3"/>
  <c r="B10" i="3"/>
  <c r="B11" i="3"/>
  <c r="B2" i="3"/>
  <c r="B13" i="3"/>
  <c r="B14" i="3"/>
  <c r="B15" i="3"/>
  <c r="B16" i="3"/>
  <c r="B17" i="3"/>
  <c r="B18" i="3"/>
  <c r="B19" i="3"/>
  <c r="B20" i="3"/>
  <c r="B21" i="3"/>
  <c r="B12" i="3"/>
  <c r="F3" i="3"/>
  <c r="F4" i="3"/>
  <c r="F5" i="3"/>
  <c r="F6" i="3"/>
  <c r="F7" i="3"/>
  <c r="F8" i="3"/>
  <c r="F9" i="3"/>
  <c r="F10" i="3"/>
  <c r="F11" i="3"/>
  <c r="F2" i="3"/>
  <c r="F13" i="3"/>
  <c r="F14" i="3"/>
  <c r="F15" i="3"/>
  <c r="F16" i="3"/>
  <c r="F17" i="3"/>
  <c r="F18" i="3"/>
  <c r="F19" i="3"/>
  <c r="F20" i="3"/>
  <c r="F21" i="3"/>
  <c r="F12" i="3"/>
  <c r="E3" i="3"/>
  <c r="E4" i="3"/>
  <c r="E5" i="3"/>
  <c r="E6" i="3"/>
  <c r="E7" i="3"/>
  <c r="E8" i="3"/>
  <c r="E9" i="3"/>
  <c r="E10" i="3"/>
  <c r="G10" i="3" s="1"/>
  <c r="E11" i="3"/>
  <c r="E2" i="3"/>
  <c r="E13" i="3"/>
  <c r="E14" i="3"/>
  <c r="E15" i="3"/>
  <c r="E16" i="3"/>
  <c r="E17" i="3"/>
  <c r="E18" i="3"/>
  <c r="G18" i="3" s="1"/>
  <c r="E19" i="3"/>
  <c r="E20" i="3"/>
  <c r="E21" i="3"/>
  <c r="E12" i="3"/>
  <c r="E3" i="2"/>
  <c r="E4" i="2"/>
  <c r="E5" i="2"/>
  <c r="E6" i="2"/>
  <c r="E2" i="2"/>
  <c r="G13" i="3" l="1"/>
  <c r="G5" i="3"/>
  <c r="G2" i="3"/>
  <c r="G4" i="3"/>
  <c r="G8" i="3"/>
  <c r="G21" i="3"/>
  <c r="G9" i="3"/>
  <c r="G20" i="3"/>
  <c r="G19" i="3"/>
  <c r="G11" i="3"/>
  <c r="G3" i="3"/>
  <c r="G7" i="3"/>
  <c r="G17" i="3"/>
  <c r="G16" i="3"/>
  <c r="G15" i="3"/>
  <c r="G12" i="3"/>
  <c r="G14" i="3"/>
  <c r="G6" i="3"/>
</calcChain>
</file>

<file path=xl/sharedStrings.xml><?xml version="1.0" encoding="utf-8"?>
<sst xmlns="http://schemas.openxmlformats.org/spreadsheetml/2006/main" count="18" uniqueCount="14">
  <si>
    <t>VCM</t>
  </si>
  <si>
    <t>VD1</t>
  </si>
  <si>
    <t>IS(mA)</t>
  </si>
  <si>
    <t>VD2</t>
  </si>
  <si>
    <t>VCM(V1=V2)</t>
  </si>
  <si>
    <t>V1(V2=3.08)</t>
  </si>
  <si>
    <t>VRSS(RSS=22)</t>
  </si>
  <si>
    <t>ID1</t>
  </si>
  <si>
    <t>ID2</t>
  </si>
  <si>
    <t>VDD=12,RD=180</t>
  </si>
  <si>
    <t>ID1-ID2</t>
  </si>
  <si>
    <t>Vid</t>
  </si>
  <si>
    <t>|ID1-ID2|</t>
  </si>
  <si>
    <t>ISS(A)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</si>
</sst>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IS(mA)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</c:v>
                </c:pt>
                <c:pt idx="12">
                  <c:v>2.8</c:v>
                </c:pt>
                <c:pt idx="13">
                  <c:v>3</c:v>
                </c:pt>
                <c:pt idx="14">
                  <c:v>3.08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0</c:v>
                </c:pt>
                <c:pt idx="1">
                  <c:v>0.28000000000000003</c:v>
                </c:pt>
                <c:pt idx="2">
                  <c:v>3.67</c:v>
                </c:pt>
                <c:pt idx="3">
                  <c:v>9.3000000000000007</c:v>
                </c:pt>
                <c:pt idx="4">
                  <c:v>15.9</c:v>
                </c:pt>
                <c:pt idx="5">
                  <c:v>22.65</c:v>
                </c:pt>
                <c:pt idx="6">
                  <c:v>29.39</c:v>
                </c:pt>
                <c:pt idx="7">
                  <c:v>36.25</c:v>
                </c:pt>
                <c:pt idx="8">
                  <c:v>43.15</c:v>
                </c:pt>
                <c:pt idx="9">
                  <c:v>50</c:v>
                </c:pt>
                <c:pt idx="10">
                  <c:v>56.9</c:v>
                </c:pt>
                <c:pt idx="11">
                  <c:v>63.79</c:v>
                </c:pt>
                <c:pt idx="12">
                  <c:v>70.75</c:v>
                </c:pt>
                <c:pt idx="13">
                  <c:v>77.52</c:v>
                </c:pt>
                <c:pt idx="14">
                  <c:v>80.099999999999994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C-454F-B30B-7BC527973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9759"/>
        <c:axId val="2133234384"/>
      </c:scatterChart>
      <c:valAx>
        <c:axId val="11887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34384"/>
        <c:crosses val="autoZero"/>
        <c:crossBetween val="midCat"/>
      </c:valAx>
      <c:valAx>
        <c:axId val="21332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7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VD1 &amp; VD2 vs</a:t>
            </a:r>
            <a:r>
              <a:rPr lang="en-IN" baseline="0"/>
              <a:t> VCM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VD1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</c:v>
                </c:pt>
                <c:pt idx="12">
                  <c:v>2.8</c:v>
                </c:pt>
                <c:pt idx="13">
                  <c:v>3</c:v>
                </c:pt>
                <c:pt idx="14">
                  <c:v>3.08</c:v>
                </c:pt>
              </c:numCache>
            </c:num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12</c:v>
                </c:pt>
                <c:pt idx="1">
                  <c:v>11.97</c:v>
                </c:pt>
                <c:pt idx="2">
                  <c:v>11.66</c:v>
                </c:pt>
                <c:pt idx="3">
                  <c:v>11.19</c:v>
                </c:pt>
                <c:pt idx="4">
                  <c:v>10.53</c:v>
                </c:pt>
                <c:pt idx="5">
                  <c:v>9.92</c:v>
                </c:pt>
                <c:pt idx="6">
                  <c:v>9.31</c:v>
                </c:pt>
                <c:pt idx="7">
                  <c:v>8.69</c:v>
                </c:pt>
                <c:pt idx="8">
                  <c:v>8.08</c:v>
                </c:pt>
                <c:pt idx="9">
                  <c:v>7.47</c:v>
                </c:pt>
                <c:pt idx="10">
                  <c:v>6.85</c:v>
                </c:pt>
                <c:pt idx="11">
                  <c:v>6.2</c:v>
                </c:pt>
                <c:pt idx="12">
                  <c:v>5.58</c:v>
                </c:pt>
                <c:pt idx="13">
                  <c:v>4.9000000000000004</c:v>
                </c:pt>
                <c:pt idx="14">
                  <c:v>4.55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CC-4C88-A442-055F62A5D35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VD2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</c:v>
                </c:pt>
                <c:pt idx="12">
                  <c:v>2.8</c:v>
                </c:pt>
                <c:pt idx="13">
                  <c:v>3</c:v>
                </c:pt>
                <c:pt idx="14">
                  <c:v>3.08</c:v>
                </c:pt>
              </c:numCache>
            </c:numRef>
          </c:xVal>
          <c:yVal>
            <c:numRef>
              <c:f>Sheet1!$D$2:$D$16</c:f>
              <c:numCache>
                <c:formatCode>General</c:formatCode>
                <c:ptCount val="15"/>
                <c:pt idx="0">
                  <c:v>12</c:v>
                </c:pt>
                <c:pt idx="1">
                  <c:v>11.96</c:v>
                </c:pt>
                <c:pt idx="2">
                  <c:v>11.66</c:v>
                </c:pt>
                <c:pt idx="3">
                  <c:v>11.14</c:v>
                </c:pt>
                <c:pt idx="4">
                  <c:v>10.56</c:v>
                </c:pt>
                <c:pt idx="5">
                  <c:v>9.9600000000000009</c:v>
                </c:pt>
                <c:pt idx="6">
                  <c:v>9.34</c:v>
                </c:pt>
                <c:pt idx="7">
                  <c:v>8.6999999999999993</c:v>
                </c:pt>
                <c:pt idx="8">
                  <c:v>8.07</c:v>
                </c:pt>
                <c:pt idx="9">
                  <c:v>7.43</c:v>
                </c:pt>
                <c:pt idx="10">
                  <c:v>6.79</c:v>
                </c:pt>
                <c:pt idx="11">
                  <c:v>6.16</c:v>
                </c:pt>
                <c:pt idx="12">
                  <c:v>5.52</c:v>
                </c:pt>
                <c:pt idx="13">
                  <c:v>4.9000000000000004</c:v>
                </c:pt>
                <c:pt idx="14">
                  <c:v>4.66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CC-4C88-A442-055F62A5D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6975"/>
        <c:axId val="2133217104"/>
      </c:scatterChart>
      <c:valAx>
        <c:axId val="11887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17104"/>
        <c:crosses val="autoZero"/>
        <c:crossBetween val="midCat"/>
      </c:valAx>
      <c:valAx>
        <c:axId val="21332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7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VD1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Sheet2!$B$2:$B$6</c:f>
              <c:numCache>
                <c:formatCode>General</c:formatCode>
                <c:ptCount val="5"/>
                <c:pt idx="0">
                  <c:v>10.95</c:v>
                </c:pt>
                <c:pt idx="1">
                  <c:v>9.1199999999999992</c:v>
                </c:pt>
                <c:pt idx="2">
                  <c:v>7.15</c:v>
                </c:pt>
                <c:pt idx="3">
                  <c:v>5.25</c:v>
                </c:pt>
                <c:pt idx="4">
                  <c:v>3.39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3-4D5B-AE6D-DC82FA27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92959"/>
        <c:axId val="2133242064"/>
      </c:scatterChart>
      <c:valAx>
        <c:axId val="1322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42064"/>
        <c:crosses val="autoZero"/>
        <c:crossBetween val="midCat"/>
      </c:valAx>
      <c:valAx>
        <c:axId val="21332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VD2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Sheet2!$C$2:$C$6</c:f>
              <c:numCache>
                <c:formatCode>General</c:formatCode>
                <c:ptCount val="5"/>
                <c:pt idx="0">
                  <c:v>10.96</c:v>
                </c:pt>
                <c:pt idx="1">
                  <c:v>9.1</c:v>
                </c:pt>
                <c:pt idx="2">
                  <c:v>7.1</c:v>
                </c:pt>
                <c:pt idx="3">
                  <c:v>5.13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CD-44B4-8086-27A666BB8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83695"/>
        <c:axId val="2133256464"/>
      </c:scatterChart>
      <c:valAx>
        <c:axId val="12058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56464"/>
        <c:crosses val="autoZero"/>
        <c:crossBetween val="midCat"/>
      </c:valAx>
      <c:valAx>
        <c:axId val="21332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VD1 &amp; VD2 vs VCM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VD1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Sheet2!$B$2:$B$6</c:f>
              <c:numCache>
                <c:formatCode>General</c:formatCode>
                <c:ptCount val="5"/>
                <c:pt idx="0">
                  <c:v>10.95</c:v>
                </c:pt>
                <c:pt idx="1">
                  <c:v>9.1199999999999992</c:v>
                </c:pt>
                <c:pt idx="2">
                  <c:v>7.15</c:v>
                </c:pt>
                <c:pt idx="3">
                  <c:v>5.25</c:v>
                </c:pt>
                <c:pt idx="4">
                  <c:v>3.39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4-4F2E-899F-D12AD2777FE9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VD2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Sheet2!$C$2:$C$6</c:f>
              <c:numCache>
                <c:formatCode>General</c:formatCode>
                <c:ptCount val="5"/>
                <c:pt idx="0">
                  <c:v>10.96</c:v>
                </c:pt>
                <c:pt idx="1">
                  <c:v>9.1</c:v>
                </c:pt>
                <c:pt idx="2">
                  <c:v>7.1</c:v>
                </c:pt>
                <c:pt idx="3">
                  <c:v>5.13</c:v>
                </c:pt>
                <c:pt idx="4">
                  <c:v>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64-4F2E-899F-D12AD2777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02895"/>
        <c:axId val="2133214224"/>
      </c:scatterChart>
      <c:valAx>
        <c:axId val="18280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14224"/>
        <c:crosses val="autoZero"/>
        <c:crossBetween val="midCat"/>
      </c:valAx>
      <c:valAx>
        <c:axId val="21332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0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ISS(A)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Sheet2!$E$2:$E$6</c:f>
              <c:numCache>
                <c:formatCode>General</c:formatCode>
                <c:ptCount val="5"/>
                <c:pt idx="0">
                  <c:v>1.1363636363636364E-2</c:v>
                </c:pt>
                <c:pt idx="1">
                  <c:v>3.1818181818181815E-2</c:v>
                </c:pt>
                <c:pt idx="2">
                  <c:v>5.3181818181818177E-2</c:v>
                </c:pt>
                <c:pt idx="3">
                  <c:v>7.4090909090909082E-2</c:v>
                </c:pt>
                <c:pt idx="4">
                  <c:v>9.5454545454545459E-2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D4-4A6A-A7B6-E59060B4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077712"/>
        <c:axId val="220290480"/>
      </c:scatterChart>
      <c:valAx>
        <c:axId val="44007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90480"/>
        <c:crosses val="autoZero"/>
        <c:crossBetween val="midCat"/>
      </c:valAx>
      <c:valAx>
        <c:axId val="2202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7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ID1-ID2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Sheet3!$B$2:$B$21</c:f>
              <c:numCache>
                <c:formatCode>General</c:formatCode>
                <c:ptCount val="20"/>
                <c:pt idx="0">
                  <c:v>-0.30000000000000027</c:v>
                </c:pt>
                <c:pt idx="1">
                  <c:v>-0.27</c:v>
                </c:pt>
                <c:pt idx="2">
                  <c:v>-0.24000000000000021</c:v>
                </c:pt>
                <c:pt idx="3">
                  <c:v>-0.20999999999999996</c:v>
                </c:pt>
                <c:pt idx="4">
                  <c:v>-0.18000000000000016</c:v>
                </c:pt>
                <c:pt idx="5">
                  <c:v>-0.14999999999999991</c:v>
                </c:pt>
                <c:pt idx="6">
                  <c:v>-0.12000000000000011</c:v>
                </c:pt>
                <c:pt idx="7">
                  <c:v>-8.9999999999999858E-2</c:v>
                </c:pt>
                <c:pt idx="8">
                  <c:v>-6.0000000000000053E-2</c:v>
                </c:pt>
                <c:pt idx="9">
                  <c:v>-3.0000000000000249E-2</c:v>
                </c:pt>
                <c:pt idx="10">
                  <c:v>2.9999999999999805E-2</c:v>
                </c:pt>
                <c:pt idx="11">
                  <c:v>6.0000000000000053E-2</c:v>
                </c:pt>
                <c:pt idx="12">
                  <c:v>8.9999999999999858E-2</c:v>
                </c:pt>
                <c:pt idx="13">
                  <c:v>0.12000000000000011</c:v>
                </c:pt>
                <c:pt idx="14">
                  <c:v>0.14999999999999991</c:v>
                </c:pt>
                <c:pt idx="15">
                  <c:v>0.17999999999999972</c:v>
                </c:pt>
                <c:pt idx="16">
                  <c:v>0.20999999999999996</c:v>
                </c:pt>
                <c:pt idx="17">
                  <c:v>0.23999999999999977</c:v>
                </c:pt>
                <c:pt idx="18">
                  <c:v>0.27</c:v>
                </c:pt>
                <c:pt idx="19">
                  <c:v>0.29999999999999982</c:v>
                </c:pt>
              </c:numCache>
            </c:numRef>
          </c:xVal>
          <c:yVal>
            <c:numRef>
              <c:f>Sheet3!$G$2:$G$21</c:f>
              <c:numCache>
                <c:formatCode>General</c:formatCode>
                <c:ptCount val="20"/>
                <c:pt idx="0">
                  <c:v>-2.4444444444444449E-2</c:v>
                </c:pt>
                <c:pt idx="1">
                  <c:v>-2.2888888888888889E-2</c:v>
                </c:pt>
                <c:pt idx="2">
                  <c:v>-2.1333333333333336E-2</c:v>
                </c:pt>
                <c:pt idx="3">
                  <c:v>-1.9833333333333335E-2</c:v>
                </c:pt>
                <c:pt idx="4">
                  <c:v>-1.8388888888888885E-2</c:v>
                </c:pt>
                <c:pt idx="5">
                  <c:v>-1.6944444444444443E-2</c:v>
                </c:pt>
                <c:pt idx="6">
                  <c:v>-1.5388888888888889E-2</c:v>
                </c:pt>
                <c:pt idx="7">
                  <c:v>-1.3611111111111115E-2</c:v>
                </c:pt>
                <c:pt idx="8">
                  <c:v>-1.1444444444444445E-2</c:v>
                </c:pt>
                <c:pt idx="9">
                  <c:v>-7.1666666666666615E-3</c:v>
                </c:pt>
                <c:pt idx="10">
                  <c:v>4.7777777777777766E-3</c:v>
                </c:pt>
                <c:pt idx="11">
                  <c:v>7.6666666666666689E-3</c:v>
                </c:pt>
                <c:pt idx="12">
                  <c:v>8.222222222222228E-3</c:v>
                </c:pt>
                <c:pt idx="13">
                  <c:v>8.3888888888888902E-3</c:v>
                </c:pt>
                <c:pt idx="14">
                  <c:v>8.4999999999999937E-3</c:v>
                </c:pt>
                <c:pt idx="15">
                  <c:v>8.4999999999999937E-3</c:v>
                </c:pt>
                <c:pt idx="16">
                  <c:v>8.5555555555555454E-3</c:v>
                </c:pt>
                <c:pt idx="17">
                  <c:v>8.5555555555555454E-3</c:v>
                </c:pt>
                <c:pt idx="18">
                  <c:v>8.6111111111111041E-3</c:v>
                </c:pt>
                <c:pt idx="19">
                  <c:v>8.6111111111111041E-3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B-4733-B1FE-3088B9569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28751"/>
        <c:axId val="2133282384"/>
      </c:scatterChart>
      <c:valAx>
        <c:axId val="12252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82384"/>
        <c:crosses val="autoZero"/>
        <c:crossBetween val="midCat"/>
      </c:valAx>
      <c:valAx>
        <c:axId val="21332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|ID1-ID2|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Sheet3!$B$2:$B$21</c:f>
              <c:numCache>
                <c:formatCode>General</c:formatCode>
                <c:ptCount val="20"/>
                <c:pt idx="0">
                  <c:v>-0.30000000000000027</c:v>
                </c:pt>
                <c:pt idx="1">
                  <c:v>-0.27</c:v>
                </c:pt>
                <c:pt idx="2">
                  <c:v>-0.24000000000000021</c:v>
                </c:pt>
                <c:pt idx="3">
                  <c:v>-0.20999999999999996</c:v>
                </c:pt>
                <c:pt idx="4">
                  <c:v>-0.18000000000000016</c:v>
                </c:pt>
                <c:pt idx="5">
                  <c:v>-0.14999999999999991</c:v>
                </c:pt>
                <c:pt idx="6">
                  <c:v>-0.12000000000000011</c:v>
                </c:pt>
                <c:pt idx="7">
                  <c:v>-8.9999999999999858E-2</c:v>
                </c:pt>
                <c:pt idx="8">
                  <c:v>-6.0000000000000053E-2</c:v>
                </c:pt>
                <c:pt idx="9">
                  <c:v>-3.0000000000000249E-2</c:v>
                </c:pt>
                <c:pt idx="10">
                  <c:v>2.9999999999999805E-2</c:v>
                </c:pt>
                <c:pt idx="11">
                  <c:v>6.0000000000000053E-2</c:v>
                </c:pt>
                <c:pt idx="12">
                  <c:v>8.9999999999999858E-2</c:v>
                </c:pt>
                <c:pt idx="13">
                  <c:v>0.12000000000000011</c:v>
                </c:pt>
                <c:pt idx="14">
                  <c:v>0.14999999999999991</c:v>
                </c:pt>
                <c:pt idx="15">
                  <c:v>0.17999999999999972</c:v>
                </c:pt>
                <c:pt idx="16">
                  <c:v>0.20999999999999996</c:v>
                </c:pt>
                <c:pt idx="17">
                  <c:v>0.23999999999999977</c:v>
                </c:pt>
                <c:pt idx="18">
                  <c:v>0.27</c:v>
                </c:pt>
                <c:pt idx="19">
                  <c:v>0.29999999999999982</c:v>
                </c:pt>
              </c:numCache>
            </c:numRef>
          </c:xVal>
          <c:yVal>
            <c:numRef>
              <c:f>Sheet3!$H$2:$H$21</c:f>
              <c:numCache>
                <c:formatCode>General</c:formatCode>
                <c:ptCount val="20"/>
                <c:pt idx="0">
                  <c:v>2.4444444444444449E-2</c:v>
                </c:pt>
                <c:pt idx="1">
                  <c:v>2.2888888888888889E-2</c:v>
                </c:pt>
                <c:pt idx="2">
                  <c:v>2.1333333333333336E-2</c:v>
                </c:pt>
                <c:pt idx="3">
                  <c:v>1.9833333333333335E-2</c:v>
                </c:pt>
                <c:pt idx="4">
                  <c:v>1.8388888888888885E-2</c:v>
                </c:pt>
                <c:pt idx="5">
                  <c:v>1.6944444444444443E-2</c:v>
                </c:pt>
                <c:pt idx="6">
                  <c:v>1.5388888888888889E-2</c:v>
                </c:pt>
                <c:pt idx="7">
                  <c:v>1.3611111111111115E-2</c:v>
                </c:pt>
                <c:pt idx="8">
                  <c:v>1.1444444444444445E-2</c:v>
                </c:pt>
                <c:pt idx="9">
                  <c:v>7.1666666666666615E-3</c:v>
                </c:pt>
                <c:pt idx="10">
                  <c:v>4.7777777777777766E-3</c:v>
                </c:pt>
                <c:pt idx="11">
                  <c:v>7.6666666666666689E-3</c:v>
                </c:pt>
                <c:pt idx="12">
                  <c:v>8.222222222222228E-3</c:v>
                </c:pt>
                <c:pt idx="13">
                  <c:v>8.3888888888888902E-3</c:v>
                </c:pt>
                <c:pt idx="14">
                  <c:v>8.4999999999999937E-3</c:v>
                </c:pt>
                <c:pt idx="15">
                  <c:v>8.4999999999999937E-3</c:v>
                </c:pt>
                <c:pt idx="16">
                  <c:v>8.5555555555555454E-3</c:v>
                </c:pt>
                <c:pt idx="17">
                  <c:v>8.5555555555555454E-3</c:v>
                </c:pt>
                <c:pt idx="18">
                  <c:v>8.6111111111111041E-3</c:v>
                </c:pt>
                <c:pt idx="19">
                  <c:v>8.6111111111111041E-3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A-44ED-B1E9-B2343B9CA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07855"/>
        <c:axId val="2133183504"/>
      </c:scatterChart>
      <c:valAx>
        <c:axId val="12310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83504"/>
        <c:crosses val="autoZero"/>
        <c:crossBetween val="midCat"/>
      </c:valAx>
      <c:valAx>
        <c:axId val="21331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0</xdr:row>
      <xdr:rowOff>179070</xdr:rowOff>
    </xdr:from>
    <xdr:to>
      <xdr:col>13</xdr:col>
      <xdr:colOff>320040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0E9C8-BF9E-A486-CC55-457332036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579120</xdr:colOff>
      <xdr:row>0</xdr:row>
      <xdr:rowOff>179070</xdr:rowOff>
    </xdr:from>
    <xdr:to>
      <xdr:col>21</xdr:col>
      <xdr:colOff>274320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094069-3394-D566-3735-632D9FAD4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0</xdr:row>
      <xdr:rowOff>163830</xdr:rowOff>
    </xdr:from>
    <xdr:to>
      <xdr:col>13</xdr:col>
      <xdr:colOff>320040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816CB-70DC-F3FD-6DA9-DA8B36BE5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</xdr:colOff>
      <xdr:row>1</xdr:row>
      <xdr:rowOff>11430</xdr:rowOff>
    </xdr:from>
    <xdr:to>
      <xdr:col>21</xdr:col>
      <xdr:colOff>320040</xdr:colOff>
      <xdr:row>16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FED3C5-0C14-B2E4-533D-26F153552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601980</xdr:colOff>
      <xdr:row>17</xdr:row>
      <xdr:rowOff>11430</xdr:rowOff>
    </xdr:from>
    <xdr:to>
      <xdr:col>13</xdr:col>
      <xdr:colOff>297180</xdr:colOff>
      <xdr:row>32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285E72-DCDF-70C2-C166-90119CAB6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16</xdr:row>
      <xdr:rowOff>171450</xdr:rowOff>
    </xdr:from>
    <xdr:to>
      <xdr:col>21</xdr:col>
      <xdr:colOff>304800</xdr:colOff>
      <xdr:row>31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6822A4-CF49-0A33-846A-E34110B23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</xdr:row>
      <xdr:rowOff>3810</xdr:rowOff>
    </xdr:from>
    <xdr:to>
      <xdr:col>17</xdr:col>
      <xdr:colOff>327660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D52FE-A6D5-C2B3-84CC-3848FF3A6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17</xdr:row>
      <xdr:rowOff>133350</xdr:rowOff>
    </xdr:from>
    <xdr:to>
      <xdr:col>17</xdr:col>
      <xdr:colOff>297180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33D6D-0681-1549-AF1C-F2B9D1DF6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CD53-8E53-455A-9AD2-5A3CFAF72A7A}">
  <dimension ref="A1:D16"/>
  <sheetViews>
    <sheetView workbookViewId="0">
      <selection activeCell="E23" sqref="E23"/>
    </sheetView>
  </sheetViews>
  <sheetFormatPr defaultRowHeight="14.4" x14ac:dyDescent="0.3"/>
  <sheetData>
    <row r="1" spans="1:4" x14ac:dyDescent="0.3">
      <c r="A1" t="s">
        <v>4</v>
      </c>
      <c r="B1" t="s">
        <v>2</v>
      </c>
      <c r="C1" t="s">
        <v>1</v>
      </c>
      <c r="D1" t="s">
        <v>3</v>
      </c>
    </row>
    <row r="2" spans="1:4" x14ac:dyDescent="0.3">
      <c r="A2">
        <v>0</v>
      </c>
      <c r="B2">
        <v>0</v>
      </c>
      <c r="C2">
        <v>12</v>
      </c>
      <c r="D2">
        <v>12</v>
      </c>
    </row>
    <row r="3" spans="1:4" x14ac:dyDescent="0.3">
      <c r="A3">
        <v>0.6</v>
      </c>
      <c r="B3">
        <v>0.28000000000000003</v>
      </c>
      <c r="C3">
        <v>11.97</v>
      </c>
      <c r="D3">
        <v>11.96</v>
      </c>
    </row>
    <row r="4" spans="1:4" x14ac:dyDescent="0.3">
      <c r="A4">
        <v>0.8</v>
      </c>
      <c r="B4">
        <v>3.67</v>
      </c>
      <c r="C4">
        <v>11.66</v>
      </c>
      <c r="D4">
        <v>11.66</v>
      </c>
    </row>
    <row r="5" spans="1:4" x14ac:dyDescent="0.3">
      <c r="A5">
        <v>1</v>
      </c>
      <c r="B5">
        <v>9.3000000000000007</v>
      </c>
      <c r="C5">
        <v>11.19</v>
      </c>
      <c r="D5">
        <v>11.14</v>
      </c>
    </row>
    <row r="6" spans="1:4" x14ac:dyDescent="0.3">
      <c r="A6">
        <v>1.2</v>
      </c>
      <c r="B6">
        <v>15.9</v>
      </c>
      <c r="C6">
        <v>10.53</v>
      </c>
      <c r="D6">
        <v>10.56</v>
      </c>
    </row>
    <row r="7" spans="1:4" x14ac:dyDescent="0.3">
      <c r="A7">
        <v>1.4</v>
      </c>
      <c r="B7">
        <v>22.65</v>
      </c>
      <c r="C7">
        <v>9.92</v>
      </c>
      <c r="D7">
        <v>9.9600000000000009</v>
      </c>
    </row>
    <row r="8" spans="1:4" x14ac:dyDescent="0.3">
      <c r="A8">
        <v>1.6</v>
      </c>
      <c r="B8">
        <v>29.39</v>
      </c>
      <c r="C8">
        <v>9.31</v>
      </c>
      <c r="D8">
        <v>9.34</v>
      </c>
    </row>
    <row r="9" spans="1:4" x14ac:dyDescent="0.3">
      <c r="A9">
        <v>1.8</v>
      </c>
      <c r="B9">
        <v>36.25</v>
      </c>
      <c r="C9">
        <v>8.69</v>
      </c>
      <c r="D9">
        <v>8.6999999999999993</v>
      </c>
    </row>
    <row r="10" spans="1:4" x14ac:dyDescent="0.3">
      <c r="A10">
        <v>2</v>
      </c>
      <c r="B10">
        <v>43.15</v>
      </c>
      <c r="C10">
        <v>8.08</v>
      </c>
      <c r="D10">
        <v>8.07</v>
      </c>
    </row>
    <row r="11" spans="1:4" x14ac:dyDescent="0.3">
      <c r="A11">
        <v>2.2000000000000002</v>
      </c>
      <c r="B11">
        <v>50</v>
      </c>
      <c r="C11">
        <v>7.47</v>
      </c>
      <c r="D11">
        <v>7.43</v>
      </c>
    </row>
    <row r="12" spans="1:4" x14ac:dyDescent="0.3">
      <c r="A12">
        <v>2.4</v>
      </c>
      <c r="B12">
        <v>56.9</v>
      </c>
      <c r="C12">
        <v>6.85</v>
      </c>
      <c r="D12">
        <v>6.79</v>
      </c>
    </row>
    <row r="13" spans="1:4" x14ac:dyDescent="0.3">
      <c r="A13">
        <v>2.6</v>
      </c>
      <c r="B13">
        <v>63.79</v>
      </c>
      <c r="C13">
        <v>6.2</v>
      </c>
      <c r="D13">
        <v>6.16</v>
      </c>
    </row>
    <row r="14" spans="1:4" x14ac:dyDescent="0.3">
      <c r="A14">
        <v>2.8</v>
      </c>
      <c r="B14">
        <v>70.75</v>
      </c>
      <c r="C14">
        <v>5.58</v>
      </c>
      <c r="D14">
        <v>5.52</v>
      </c>
    </row>
    <row r="15" spans="1:4" x14ac:dyDescent="0.3">
      <c r="A15">
        <v>3</v>
      </c>
      <c r="B15">
        <v>77.52</v>
      </c>
      <c r="C15">
        <v>4.9000000000000004</v>
      </c>
      <c r="D15">
        <v>4.9000000000000004</v>
      </c>
    </row>
    <row r="16" spans="1:4" x14ac:dyDescent="0.3">
      <c r="A16">
        <v>3.08</v>
      </c>
      <c r="B16">
        <v>80.099999999999994</v>
      </c>
      <c r="C16">
        <v>4.55</v>
      </c>
      <c r="D16">
        <v>4.66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AC62-AAC9-43D0-927F-CEBDC89C2A6D}">
  <dimension ref="A1:E6"/>
  <sheetViews>
    <sheetView tabSelected="1" workbookViewId="0">
      <selection activeCell="F2" sqref="F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6</v>
      </c>
      <c r="E1" t="s">
        <v>13</v>
      </c>
    </row>
    <row r="2" spans="1:5" x14ac:dyDescent="0.3">
      <c r="A2">
        <v>1</v>
      </c>
      <c r="B2">
        <v>10.95</v>
      </c>
      <c r="C2">
        <v>10.96</v>
      </c>
      <c r="D2">
        <v>0.25</v>
      </c>
      <c r="E2">
        <f>D2/22</f>
        <v>1.1363636363636364E-2</v>
      </c>
    </row>
    <row r="3" spans="1:5" x14ac:dyDescent="0.3">
      <c r="A3">
        <v>1.5</v>
      </c>
      <c r="B3">
        <v>9.1199999999999992</v>
      </c>
      <c r="C3">
        <v>9.1</v>
      </c>
      <c r="D3">
        <v>0.7</v>
      </c>
      <c r="E3">
        <f t="shared" ref="E3:E6" si="0">D3/22</f>
        <v>3.1818181818181815E-2</v>
      </c>
    </row>
    <row r="4" spans="1:5" x14ac:dyDescent="0.3">
      <c r="A4">
        <v>2</v>
      </c>
      <c r="B4">
        <v>7.15</v>
      </c>
      <c r="C4">
        <v>7.1</v>
      </c>
      <c r="D4">
        <v>1.17</v>
      </c>
      <c r="E4">
        <f t="shared" si="0"/>
        <v>5.3181818181818177E-2</v>
      </c>
    </row>
    <row r="5" spans="1:5" x14ac:dyDescent="0.3">
      <c r="A5">
        <v>2.5</v>
      </c>
      <c r="B5">
        <v>5.25</v>
      </c>
      <c r="C5">
        <v>5.13</v>
      </c>
      <c r="D5">
        <v>1.63</v>
      </c>
      <c r="E5">
        <f t="shared" si="0"/>
        <v>7.4090909090909082E-2</v>
      </c>
    </row>
    <row r="6" spans="1:5" x14ac:dyDescent="0.3">
      <c r="A6">
        <v>3</v>
      </c>
      <c r="B6">
        <v>3.39</v>
      </c>
      <c r="C6">
        <v>3.25</v>
      </c>
      <c r="D6">
        <v>2.1</v>
      </c>
      <c r="E6">
        <f t="shared" si="0"/>
        <v>9.5454545454545459E-2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6D5F-A979-41A8-AC89-324F752502C9}">
  <dimension ref="A1:I21"/>
  <sheetViews>
    <sheetView topLeftCell="A4" workbookViewId="0">
      <selection activeCell="J5" sqref="J5"/>
    </sheetView>
  </sheetViews>
  <sheetFormatPr defaultRowHeight="14.4" x14ac:dyDescent="0.3"/>
  <sheetData>
    <row r="1" spans="1:9" x14ac:dyDescent="0.3">
      <c r="A1" t="s">
        <v>5</v>
      </c>
      <c r="B1" t="s">
        <v>11</v>
      </c>
      <c r="C1" t="s">
        <v>1</v>
      </c>
      <c r="D1" t="s">
        <v>3</v>
      </c>
      <c r="E1" t="s">
        <v>7</v>
      </c>
      <c r="F1" t="s">
        <v>8</v>
      </c>
      <c r="G1" t="s">
        <v>10</v>
      </c>
      <c r="H1" t="s">
        <v>12</v>
      </c>
      <c r="I1" t="s">
        <v>9</v>
      </c>
    </row>
    <row r="2" spans="1:9" x14ac:dyDescent="0.3">
      <c r="A2">
        <v>2.78</v>
      </c>
      <c r="B2">
        <f>A2-3.08</f>
        <v>-0.30000000000000027</v>
      </c>
      <c r="C2">
        <v>6.35</v>
      </c>
      <c r="D2">
        <v>1.95</v>
      </c>
      <c r="E2">
        <f>(12-C2)/180</f>
        <v>3.138888888888889E-2</v>
      </c>
      <c r="F2">
        <f>(12-D2)/180</f>
        <v>5.5833333333333339E-2</v>
      </c>
      <c r="G2">
        <f>E2-F2</f>
        <v>-2.4444444444444449E-2</v>
      </c>
      <c r="H2">
        <f>F2-E2</f>
        <v>2.4444444444444449E-2</v>
      </c>
    </row>
    <row r="3" spans="1:9" x14ac:dyDescent="0.3">
      <c r="A3">
        <v>2.81</v>
      </c>
      <c r="B3">
        <f t="shared" ref="B3:B11" si="0">A3-3.08</f>
        <v>-0.27</v>
      </c>
      <c r="C3">
        <v>6.09</v>
      </c>
      <c r="D3">
        <v>1.97</v>
      </c>
      <c r="E3">
        <f t="shared" ref="E3:E11" si="1">(12-C3)/180</f>
        <v>3.2833333333333332E-2</v>
      </c>
      <c r="F3">
        <f t="shared" ref="F3:F11" si="2">(12-D3)/180</f>
        <v>5.5722222222222222E-2</v>
      </c>
      <c r="G3">
        <f t="shared" ref="G3:G11" si="3">E3-F3</f>
        <v>-2.2888888888888889E-2</v>
      </c>
      <c r="H3">
        <f t="shared" ref="H3:H11" si="4">F3-E3</f>
        <v>2.2888888888888889E-2</v>
      </c>
    </row>
    <row r="4" spans="1:9" x14ac:dyDescent="0.3">
      <c r="A4">
        <v>2.84</v>
      </c>
      <c r="B4">
        <f t="shared" si="0"/>
        <v>-0.24000000000000021</v>
      </c>
      <c r="C4">
        <v>5.83</v>
      </c>
      <c r="D4">
        <v>1.99</v>
      </c>
      <c r="E4">
        <f t="shared" si="1"/>
        <v>3.4277777777777775E-2</v>
      </c>
      <c r="F4">
        <f t="shared" si="2"/>
        <v>5.5611111111111111E-2</v>
      </c>
      <c r="G4">
        <f t="shared" si="3"/>
        <v>-2.1333333333333336E-2</v>
      </c>
      <c r="H4">
        <f t="shared" si="4"/>
        <v>2.1333333333333336E-2</v>
      </c>
    </row>
    <row r="5" spans="1:9" x14ac:dyDescent="0.3">
      <c r="A5">
        <v>2.87</v>
      </c>
      <c r="B5">
        <f t="shared" si="0"/>
        <v>-0.20999999999999996</v>
      </c>
      <c r="C5">
        <v>5.59</v>
      </c>
      <c r="D5">
        <v>2.02</v>
      </c>
      <c r="E5">
        <f t="shared" si="1"/>
        <v>3.5611111111111114E-2</v>
      </c>
      <c r="F5">
        <f t="shared" si="2"/>
        <v>5.5444444444444449E-2</v>
      </c>
      <c r="G5">
        <f t="shared" si="3"/>
        <v>-1.9833333333333335E-2</v>
      </c>
      <c r="H5">
        <f t="shared" si="4"/>
        <v>1.9833333333333335E-2</v>
      </c>
    </row>
    <row r="6" spans="1:9" x14ac:dyDescent="0.3">
      <c r="A6">
        <v>2.9</v>
      </c>
      <c r="B6">
        <f t="shared" si="0"/>
        <v>-0.18000000000000016</v>
      </c>
      <c r="C6">
        <v>5.36</v>
      </c>
      <c r="D6">
        <v>2.0499999999999998</v>
      </c>
      <c r="E6">
        <f t="shared" si="1"/>
        <v>3.6888888888888888E-2</v>
      </c>
      <c r="F6">
        <f t="shared" si="2"/>
        <v>5.5277777777777773E-2</v>
      </c>
      <c r="G6">
        <f t="shared" si="3"/>
        <v>-1.8388888888888885E-2</v>
      </c>
      <c r="H6">
        <f t="shared" si="4"/>
        <v>1.8388888888888885E-2</v>
      </c>
    </row>
    <row r="7" spans="1:9" x14ac:dyDescent="0.3">
      <c r="A7">
        <v>2.93</v>
      </c>
      <c r="B7">
        <f t="shared" si="0"/>
        <v>-0.14999999999999991</v>
      </c>
      <c r="C7">
        <v>5.1100000000000003</v>
      </c>
      <c r="D7">
        <v>2.06</v>
      </c>
      <c r="E7">
        <f t="shared" si="1"/>
        <v>3.8277777777777779E-2</v>
      </c>
      <c r="F7">
        <f t="shared" si="2"/>
        <v>5.5222222222222221E-2</v>
      </c>
      <c r="G7">
        <f t="shared" si="3"/>
        <v>-1.6944444444444443E-2</v>
      </c>
      <c r="H7">
        <f t="shared" si="4"/>
        <v>1.6944444444444443E-2</v>
      </c>
    </row>
    <row r="8" spans="1:9" x14ac:dyDescent="0.3">
      <c r="A8">
        <v>2.96</v>
      </c>
      <c r="B8">
        <f t="shared" si="0"/>
        <v>-0.12000000000000011</v>
      </c>
      <c r="C8">
        <v>4.87</v>
      </c>
      <c r="D8">
        <v>2.1</v>
      </c>
      <c r="E8">
        <f t="shared" si="1"/>
        <v>3.9611111111111111E-2</v>
      </c>
      <c r="F8">
        <f t="shared" si="2"/>
        <v>5.5E-2</v>
      </c>
      <c r="G8">
        <f t="shared" si="3"/>
        <v>-1.5388888888888889E-2</v>
      </c>
      <c r="H8">
        <f t="shared" si="4"/>
        <v>1.5388888888888889E-2</v>
      </c>
    </row>
    <row r="9" spans="1:9" x14ac:dyDescent="0.3">
      <c r="A9">
        <v>2.99</v>
      </c>
      <c r="B9">
        <f t="shared" si="0"/>
        <v>-8.9999999999999858E-2</v>
      </c>
      <c r="C9">
        <v>4.6100000000000003</v>
      </c>
      <c r="D9">
        <v>2.16</v>
      </c>
      <c r="E9">
        <f t="shared" si="1"/>
        <v>4.1055555555555553E-2</v>
      </c>
      <c r="F9">
        <f t="shared" si="2"/>
        <v>5.4666666666666669E-2</v>
      </c>
      <c r="G9">
        <f t="shared" si="3"/>
        <v>-1.3611111111111115E-2</v>
      </c>
      <c r="H9">
        <f t="shared" si="4"/>
        <v>1.3611111111111115E-2</v>
      </c>
    </row>
    <row r="10" spans="1:9" x14ac:dyDescent="0.3">
      <c r="A10">
        <v>3.02</v>
      </c>
      <c r="B10">
        <f t="shared" si="0"/>
        <v>-6.0000000000000053E-2</v>
      </c>
      <c r="C10">
        <v>4.32</v>
      </c>
      <c r="D10">
        <v>2.2599999999999998</v>
      </c>
      <c r="E10">
        <f t="shared" si="1"/>
        <v>4.2666666666666665E-2</v>
      </c>
      <c r="F10">
        <f t="shared" si="2"/>
        <v>5.411111111111111E-2</v>
      </c>
      <c r="G10">
        <f t="shared" si="3"/>
        <v>-1.1444444444444445E-2</v>
      </c>
      <c r="H10">
        <f t="shared" si="4"/>
        <v>1.1444444444444445E-2</v>
      </c>
    </row>
    <row r="11" spans="1:9" x14ac:dyDescent="0.3">
      <c r="A11">
        <v>3.05</v>
      </c>
      <c r="B11">
        <f t="shared" si="0"/>
        <v>-3.0000000000000249E-2</v>
      </c>
      <c r="C11">
        <v>3.84</v>
      </c>
      <c r="D11">
        <v>2.5499999999999998</v>
      </c>
      <c r="E11">
        <f t="shared" si="1"/>
        <v>4.5333333333333337E-2</v>
      </c>
      <c r="F11">
        <f t="shared" si="2"/>
        <v>5.2499999999999998E-2</v>
      </c>
      <c r="G11">
        <f t="shared" si="3"/>
        <v>-7.1666666666666615E-3</v>
      </c>
      <c r="H11">
        <f t="shared" si="4"/>
        <v>7.1666666666666615E-3</v>
      </c>
    </row>
    <row r="12" spans="1:9" x14ac:dyDescent="0.3">
      <c r="A12">
        <v>3.11</v>
      </c>
      <c r="B12">
        <f>A12-3.08</f>
        <v>2.9999999999999805E-2</v>
      </c>
      <c r="C12">
        <v>2.57</v>
      </c>
      <c r="D12">
        <v>3.43</v>
      </c>
      <c r="E12">
        <f>(12-C12)/180</f>
        <v>5.2388888888888888E-2</v>
      </c>
      <c r="F12">
        <f>(12-D12)/180</f>
        <v>4.7611111111111111E-2</v>
      </c>
      <c r="G12">
        <f>E12-F12</f>
        <v>4.7777777777777766E-3</v>
      </c>
      <c r="H12">
        <f>E12-F12</f>
        <v>4.7777777777777766E-3</v>
      </c>
    </row>
    <row r="13" spans="1:9" x14ac:dyDescent="0.3">
      <c r="A13">
        <v>3.14</v>
      </c>
      <c r="B13">
        <f t="shared" ref="B13:B21" si="5">A13-3.08</f>
        <v>6.0000000000000053E-2</v>
      </c>
      <c r="C13">
        <v>2.33</v>
      </c>
      <c r="D13">
        <v>3.71</v>
      </c>
      <c r="E13">
        <f t="shared" ref="E13:E21" si="6">(12-C13)/180</f>
        <v>5.372222222222222E-2</v>
      </c>
      <c r="F13">
        <f t="shared" ref="F13:F21" si="7">(12-D13)/180</f>
        <v>4.6055555555555551E-2</v>
      </c>
      <c r="G13">
        <f t="shared" ref="G13:G21" si="8">E13-F13</f>
        <v>7.6666666666666689E-3</v>
      </c>
      <c r="H13">
        <f t="shared" ref="H13:H21" si="9">E13-F13</f>
        <v>7.6666666666666689E-3</v>
      </c>
    </row>
    <row r="14" spans="1:9" x14ac:dyDescent="0.3">
      <c r="A14">
        <v>3.17</v>
      </c>
      <c r="B14">
        <f t="shared" si="5"/>
        <v>8.9999999999999858E-2</v>
      </c>
      <c r="C14">
        <v>2.27</v>
      </c>
      <c r="D14">
        <v>3.75</v>
      </c>
      <c r="E14">
        <f t="shared" si="6"/>
        <v>5.4055555555555558E-2</v>
      </c>
      <c r="F14">
        <f t="shared" si="7"/>
        <v>4.583333333333333E-2</v>
      </c>
      <c r="G14">
        <f t="shared" si="8"/>
        <v>8.222222222222228E-3</v>
      </c>
      <c r="H14">
        <f t="shared" si="9"/>
        <v>8.222222222222228E-3</v>
      </c>
    </row>
    <row r="15" spans="1:9" x14ac:dyDescent="0.3">
      <c r="A15">
        <v>3.2</v>
      </c>
      <c r="B15">
        <f t="shared" si="5"/>
        <v>0.12000000000000011</v>
      </c>
      <c r="C15">
        <v>2.25</v>
      </c>
      <c r="D15">
        <v>3.76</v>
      </c>
      <c r="E15">
        <f t="shared" si="6"/>
        <v>5.4166666666666669E-2</v>
      </c>
      <c r="F15">
        <f t="shared" si="7"/>
        <v>4.5777777777777778E-2</v>
      </c>
      <c r="G15">
        <f t="shared" si="8"/>
        <v>8.3888888888888902E-3</v>
      </c>
      <c r="H15">
        <f t="shared" si="9"/>
        <v>8.3888888888888902E-3</v>
      </c>
    </row>
    <row r="16" spans="1:9" x14ac:dyDescent="0.3">
      <c r="A16">
        <v>3.23</v>
      </c>
      <c r="B16">
        <f t="shared" si="5"/>
        <v>0.14999999999999991</v>
      </c>
      <c r="C16">
        <v>2.2400000000000002</v>
      </c>
      <c r="D16">
        <v>3.77</v>
      </c>
      <c r="E16">
        <f t="shared" si="6"/>
        <v>5.422222222222222E-2</v>
      </c>
      <c r="F16">
        <f t="shared" si="7"/>
        <v>4.5722222222222227E-2</v>
      </c>
      <c r="G16">
        <f t="shared" si="8"/>
        <v>8.4999999999999937E-3</v>
      </c>
      <c r="H16">
        <f t="shared" si="9"/>
        <v>8.4999999999999937E-3</v>
      </c>
    </row>
    <row r="17" spans="1:8" x14ac:dyDescent="0.3">
      <c r="A17">
        <v>3.26</v>
      </c>
      <c r="B17">
        <f t="shared" si="5"/>
        <v>0.17999999999999972</v>
      </c>
      <c r="C17">
        <v>2.2400000000000002</v>
      </c>
      <c r="D17">
        <v>3.77</v>
      </c>
      <c r="E17">
        <f t="shared" si="6"/>
        <v>5.422222222222222E-2</v>
      </c>
      <c r="F17">
        <f t="shared" si="7"/>
        <v>4.5722222222222227E-2</v>
      </c>
      <c r="G17">
        <f t="shared" si="8"/>
        <v>8.4999999999999937E-3</v>
      </c>
      <c r="H17">
        <f t="shared" si="9"/>
        <v>8.4999999999999937E-3</v>
      </c>
    </row>
    <row r="18" spans="1:8" x14ac:dyDescent="0.3">
      <c r="A18">
        <v>3.29</v>
      </c>
      <c r="B18">
        <f t="shared" si="5"/>
        <v>0.20999999999999996</v>
      </c>
      <c r="C18">
        <v>2.23</v>
      </c>
      <c r="D18">
        <v>3.77</v>
      </c>
      <c r="E18">
        <f t="shared" si="6"/>
        <v>5.4277777777777772E-2</v>
      </c>
      <c r="F18">
        <f t="shared" si="7"/>
        <v>4.5722222222222227E-2</v>
      </c>
      <c r="G18">
        <f t="shared" si="8"/>
        <v>8.5555555555555454E-3</v>
      </c>
      <c r="H18">
        <f t="shared" si="9"/>
        <v>8.5555555555555454E-3</v>
      </c>
    </row>
    <row r="19" spans="1:8" x14ac:dyDescent="0.3">
      <c r="A19">
        <v>3.32</v>
      </c>
      <c r="B19">
        <f t="shared" si="5"/>
        <v>0.23999999999999977</v>
      </c>
      <c r="C19">
        <v>2.23</v>
      </c>
      <c r="D19">
        <v>3.77</v>
      </c>
      <c r="E19">
        <f t="shared" si="6"/>
        <v>5.4277777777777772E-2</v>
      </c>
      <c r="F19">
        <f t="shared" si="7"/>
        <v>4.5722222222222227E-2</v>
      </c>
      <c r="G19">
        <f t="shared" si="8"/>
        <v>8.5555555555555454E-3</v>
      </c>
      <c r="H19">
        <f t="shared" si="9"/>
        <v>8.5555555555555454E-3</v>
      </c>
    </row>
    <row r="20" spans="1:8" x14ac:dyDescent="0.3">
      <c r="A20">
        <v>3.35</v>
      </c>
      <c r="B20">
        <f t="shared" si="5"/>
        <v>0.27</v>
      </c>
      <c r="C20">
        <v>2.23</v>
      </c>
      <c r="D20">
        <v>3.78</v>
      </c>
      <c r="E20">
        <f t="shared" si="6"/>
        <v>5.4277777777777772E-2</v>
      </c>
      <c r="F20">
        <f t="shared" si="7"/>
        <v>4.5666666666666668E-2</v>
      </c>
      <c r="G20">
        <f t="shared" si="8"/>
        <v>8.6111111111111041E-3</v>
      </c>
      <c r="H20">
        <f t="shared" si="9"/>
        <v>8.6111111111111041E-3</v>
      </c>
    </row>
    <row r="21" spans="1:8" x14ac:dyDescent="0.3">
      <c r="A21">
        <v>3.38</v>
      </c>
      <c r="B21">
        <f t="shared" si="5"/>
        <v>0.29999999999999982</v>
      </c>
      <c r="C21">
        <v>2.23</v>
      </c>
      <c r="D21">
        <v>3.78</v>
      </c>
      <c r="E21">
        <f t="shared" si="6"/>
        <v>5.4277777777777772E-2</v>
      </c>
      <c r="F21">
        <f t="shared" si="7"/>
        <v>4.5666666666666668E-2</v>
      </c>
      <c r="G21">
        <f t="shared" si="8"/>
        <v>8.6111111111111041E-3</v>
      </c>
      <c r="H21">
        <f t="shared" si="9"/>
        <v>8.6111111111111041E-3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2026-09-15T11:03:49Z</dcterms:created>
  <dcterms:modified xsi:type="dcterms:W3CDTF">2026-09-18T06:28:21Z</dcterms:modified>
</cp:coreProperties>
</file>